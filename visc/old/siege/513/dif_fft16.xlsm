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22995" windowHeight="9015" activeTab="3"/>
  </bookViews>
  <sheets>
    <sheet name="Chart3" sheetId="6" r:id="rId1"/>
    <sheet name="Chart2" sheetId="5" r:id="rId2"/>
    <sheet name="Chart1" sheetId="4" r:id="rId3"/>
    <sheet name="Sheet1" sheetId="1" r:id="rId4"/>
    <sheet name="Sheet2" sheetId="2" r:id="rId5"/>
    <sheet name="Sheet3" sheetId="3" r:id="rId6"/>
  </sheets>
  <functionGroups builtInGroupCount="17"/>
  <calcPr calcId="144525"/>
</workbook>
</file>

<file path=xl/calcChain.xml><?xml version="1.0" encoding="utf-8"?>
<calcChain xmlns="http://schemas.openxmlformats.org/spreadsheetml/2006/main">
  <c r="J23" i="1" l="1"/>
  <c r="H23" i="1"/>
  <c r="M32" i="1"/>
  <c r="M33" i="1" s="1"/>
  <c r="O30" i="1"/>
  <c r="M29" i="1"/>
  <c r="M30" i="1"/>
  <c r="G23" i="1"/>
  <c r="G20" i="1"/>
  <c r="H17" i="1"/>
  <c r="G17" i="1"/>
  <c r="J14" i="1"/>
  <c r="I14" i="1"/>
  <c r="H14" i="1"/>
  <c r="G14" i="1"/>
  <c r="N11" i="1"/>
  <c r="M11" i="1"/>
  <c r="L11" i="1"/>
  <c r="K11" i="1"/>
  <c r="J11" i="1"/>
  <c r="I11" i="1"/>
  <c r="H11" i="1"/>
  <c r="G11" i="1"/>
  <c r="V7" i="1"/>
  <c r="U7" i="1"/>
  <c r="T7" i="1"/>
  <c r="S7" i="1"/>
  <c r="R7" i="1"/>
  <c r="Q7" i="1"/>
  <c r="P7" i="1"/>
  <c r="O7" i="1"/>
  <c r="N7" i="1"/>
  <c r="N10" i="1" s="1"/>
  <c r="M7" i="1"/>
  <c r="L7" i="1"/>
  <c r="K7" i="1"/>
  <c r="J7" i="1"/>
  <c r="I7" i="1"/>
  <c r="H7" i="1"/>
  <c r="G7" i="1"/>
  <c r="P10" i="1"/>
  <c r="P11" i="1"/>
  <c r="V11" i="1"/>
  <c r="U11" i="1"/>
  <c r="T11" i="1"/>
  <c r="S11" i="1"/>
  <c r="R11" i="1"/>
  <c r="O11" i="1"/>
  <c r="V10" i="1"/>
  <c r="U10" i="1"/>
  <c r="T10" i="1"/>
  <c r="S10" i="1"/>
  <c r="O10" i="1"/>
  <c r="R10" i="1"/>
  <c r="Q11" i="1"/>
  <c r="Q10" i="1"/>
  <c r="S14" i="1"/>
  <c r="S13" i="1"/>
  <c r="T14" i="1"/>
  <c r="T13" i="1"/>
  <c r="U14" i="1"/>
  <c r="U13" i="1"/>
  <c r="U17" i="1"/>
  <c r="U16" i="1"/>
  <c r="V14" i="1"/>
  <c r="V13" i="1"/>
  <c r="V17" i="1" s="1"/>
  <c r="V16" i="1"/>
  <c r="V20" i="1"/>
  <c r="V19" i="1"/>
  <c r="O29" i="1" l="1"/>
  <c r="I10" i="1"/>
  <c r="L10" i="1"/>
  <c r="K10" i="1"/>
  <c r="M10" i="1"/>
  <c r="I13" i="1" s="1"/>
  <c r="J10" i="1"/>
  <c r="J13" i="1" s="1"/>
  <c r="H10" i="1"/>
  <c r="G10" i="1"/>
  <c r="G13" i="1" s="1"/>
  <c r="R13" i="1"/>
  <c r="R14" i="1"/>
  <c r="Q13" i="1"/>
  <c r="Q14" i="1"/>
  <c r="T16" i="1"/>
  <c r="T17" i="1"/>
  <c r="P13" i="1"/>
  <c r="P14" i="1"/>
  <c r="V22" i="1"/>
  <c r="V23" i="1"/>
  <c r="U19" i="1"/>
  <c r="N22" i="1" s="1"/>
  <c r="U20" i="1"/>
  <c r="N23" i="1" s="1"/>
  <c r="S16" i="1"/>
  <c r="S17" i="1"/>
  <c r="O13" i="1"/>
  <c r="O14" i="1"/>
  <c r="R17" i="1"/>
  <c r="M13" i="1"/>
  <c r="M14" i="1"/>
  <c r="N13" i="1"/>
  <c r="N14" i="1"/>
  <c r="L13" i="1"/>
  <c r="L14" i="1"/>
  <c r="N17" i="1" s="1"/>
  <c r="K13" i="1"/>
  <c r="K14" i="1"/>
  <c r="I16" i="1"/>
  <c r="I17" i="1"/>
  <c r="R16" i="1"/>
  <c r="Q17" i="1"/>
  <c r="T20" i="1"/>
  <c r="Q16" i="1"/>
  <c r="T19" i="1"/>
  <c r="R20" i="1"/>
  <c r="R19" i="1"/>
  <c r="M16" i="1"/>
  <c r="M17" i="1"/>
  <c r="N16" i="1"/>
  <c r="N19" i="1"/>
  <c r="N20" i="1"/>
  <c r="V25" i="1" l="1"/>
  <c r="N25" i="1"/>
  <c r="G16" i="1"/>
  <c r="L17" i="1"/>
  <c r="L16" i="1"/>
  <c r="H13" i="1"/>
  <c r="U23" i="1"/>
  <c r="U22" i="1"/>
  <c r="M20" i="1"/>
  <c r="M23" i="1" s="1"/>
  <c r="M19" i="1"/>
  <c r="M22" i="1" s="1"/>
  <c r="K17" i="1"/>
  <c r="K16" i="1"/>
  <c r="P16" i="1"/>
  <c r="P17" i="1"/>
  <c r="T22" i="1"/>
  <c r="T23" i="1"/>
  <c r="R22" i="1"/>
  <c r="Q19" i="1"/>
  <c r="L22" i="1" s="1"/>
  <c r="R23" i="1"/>
  <c r="Q20" i="1"/>
  <c r="L23" i="1" s="1"/>
  <c r="S19" i="1"/>
  <c r="J22" i="1" s="1"/>
  <c r="O16" i="1"/>
  <c r="S20" i="1"/>
  <c r="O17" i="1"/>
  <c r="J17" i="1"/>
  <c r="J16" i="1"/>
  <c r="L20" i="1"/>
  <c r="L19" i="1"/>
  <c r="P19" i="1"/>
  <c r="P20" i="1"/>
  <c r="J20" i="1"/>
  <c r="J19" i="1"/>
  <c r="R25" i="1" l="1"/>
  <c r="U25" i="1"/>
  <c r="L25" i="1"/>
  <c r="M25" i="1"/>
  <c r="J25" i="1"/>
  <c r="T25" i="1"/>
  <c r="K19" i="1"/>
  <c r="I22" i="1" s="1"/>
  <c r="S22" i="1"/>
  <c r="S23" i="1"/>
  <c r="I19" i="1"/>
  <c r="K22" i="1" s="1"/>
  <c r="I20" i="1"/>
  <c r="K23" i="1" s="1"/>
  <c r="H16" i="1"/>
  <c r="Q22" i="1"/>
  <c r="Q23" i="1"/>
  <c r="K20" i="1"/>
  <c r="I23" i="1" s="1"/>
  <c r="P23" i="1"/>
  <c r="P22" i="1"/>
  <c r="O20" i="1"/>
  <c r="O19" i="1"/>
  <c r="H22" i="1" s="1"/>
  <c r="H20" i="1"/>
  <c r="H19" i="1"/>
  <c r="P25" i="1" l="1"/>
  <c r="I25" i="1"/>
  <c r="H25" i="1"/>
  <c r="K25" i="1"/>
  <c r="S25" i="1"/>
  <c r="Q25" i="1"/>
  <c r="O22" i="1"/>
  <c r="O23" i="1"/>
  <c r="G19" i="1"/>
  <c r="G22" i="1" s="1"/>
  <c r="G25" i="1" s="1"/>
  <c r="O25" i="1" l="1"/>
</calcChain>
</file>

<file path=xl/sharedStrings.xml><?xml version="1.0" encoding="utf-8"?>
<sst xmlns="http://schemas.openxmlformats.org/spreadsheetml/2006/main" count="19" uniqueCount="10">
  <si>
    <t>FFT DIF</t>
  </si>
  <si>
    <t>x</t>
  </si>
  <si>
    <t>A</t>
  </si>
  <si>
    <t>f</t>
  </si>
  <si>
    <t>ph</t>
  </si>
  <si>
    <t>of</t>
  </si>
  <si>
    <t>xr</t>
  </si>
  <si>
    <t>xi</t>
  </si>
  <si>
    <t>br</t>
  </si>
  <si>
    <t>pow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</si>
</sst>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5">
    <xf numFmtId="0" fontId="0" fillId="0" borderId="0" xfId="0"/>
    <xf numFmtId="0" fontId="1" fillId="0" borderId="1" xfId="1"/>
    <xf numFmtId="2" fontId="0" fillId="0" borderId="0" xfId="0" applyNumberFormat="1"/>
    <xf numFmtId="164" fontId="0" fillId="0" borderId="0" xfId="0" applyNumberFormat="1"/>
    <xf numFmtId="164" fontId="0" fillId="2" borderId="0" xfId="0" applyNumberFormat="1" applyFill="1" applyBorder="1"/>
    <xf numFmtId="164" fontId="0" fillId="2" borderId="2" xfId="0" applyNumberFormat="1" applyFill="1" applyBorder="1"/>
    <xf numFmtId="164" fontId="0" fillId="0" borderId="0" xfId="0" applyNumberFormat="1" applyFill="1"/>
    <xf numFmtId="164" fontId="0" fillId="0" borderId="0" xfId="0" applyNumberFormat="1" applyFill="1" applyBorder="1"/>
    <xf numFmtId="164" fontId="0" fillId="0" borderId="2" xfId="0" applyNumberFormat="1" applyFill="1" applyBorder="1"/>
    <xf numFmtId="164" fontId="2" fillId="0" borderId="0" xfId="0" applyNumberFormat="1" applyFont="1" applyFill="1"/>
    <xf numFmtId="164" fontId="2" fillId="2" borderId="0" xfId="0" applyNumberFormat="1" applyFont="1" applyFill="1"/>
    <xf numFmtId="164" fontId="2" fillId="0" borderId="0" xfId="0" applyNumberFormat="1" applyFont="1" applyFill="1" applyBorder="1"/>
    <xf numFmtId="164" fontId="2" fillId="2" borderId="0" xfId="0" applyNumberFormat="1" applyFont="1" applyFill="1" applyBorder="1"/>
    <xf numFmtId="164" fontId="2" fillId="0" borderId="2" xfId="0" applyNumberFormat="1" applyFont="1" applyFill="1" applyBorder="1"/>
    <xf numFmtId="164" fontId="2" fillId="2" borderId="2" xfId="0" applyNumberFormat="1" applyFont="1" applyFill="1" applyBorder="1"/>
  </cellXfs>
  <cellStyles count="2">
    <cellStyle name="Heading 2" xfId="1" builtinId="1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microsoft.com/office/2006/relationships/vbaProject" Target="vbaProject.bin"/><Relationship Id="rId5" Type="http://schemas.openxmlformats.org/officeDocument/2006/relationships/worksheet" Target="worksheets/sheet2.xml"/><Relationship Id="rId10" Type="http://schemas.openxmlformats.org/officeDocument/2006/relationships/calcChain" Target="calcChain.xml"/><Relationship Id="rId4" Type="http://schemas.openxmlformats.org/officeDocument/2006/relationships/worksheet" Target="worksheets/sheet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Sheet1!$M$29:$M$30</c:f>
              <c:numCache>
                <c:formatCode>0.00</c:formatCode>
                <c:ptCount val="2"/>
                <c:pt idx="0">
                  <c:v>0.92388396457354438</c:v>
                </c:pt>
                <c:pt idx="1">
                  <c:v>0.3826727322450213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69344"/>
        <c:axId val="141370880"/>
      </c:barChart>
      <c:catAx>
        <c:axId val="141369344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70880"/>
        <c:crosses val="autoZero"/>
        <c:auto val="1"/>
        <c:lblAlgn val="ctr"/>
        <c:lblOffset val="100"/>
        <c:noMultiLvlLbl val="0"/>
      </c:catAx>
      <c:valAx>
        <c:axId val="141370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41369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Sheet1!$M$29:$M$30</c:f>
              <c:numCache>
                <c:formatCode>0.00</c:formatCode>
                <c:ptCount val="2"/>
                <c:pt idx="0">
                  <c:v>0.92388396457354438</c:v>
                </c:pt>
                <c:pt idx="1">
                  <c:v>0.3826727322450213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536640"/>
        <c:axId val="101979264"/>
      </c:barChart>
      <c:catAx>
        <c:axId val="77536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979264"/>
        <c:crosses val="autoZero"/>
        <c:auto val="1"/>
        <c:lblAlgn val="ctr"/>
        <c:lblOffset val="100"/>
        <c:noMultiLvlLbl val="0"/>
      </c:catAx>
      <c:valAx>
        <c:axId val="1019792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7536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Sheet1!$M$29:$M$30</c:f>
              <c:numCache>
                <c:formatCode>0.00</c:formatCode>
                <c:ptCount val="2"/>
                <c:pt idx="0">
                  <c:v>0.92388396457354438</c:v>
                </c:pt>
                <c:pt idx="1">
                  <c:v>0.3826727322450213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19968"/>
        <c:axId val="43246336"/>
      </c:barChart>
      <c:catAx>
        <c:axId val="4321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43246336"/>
        <c:crosses val="autoZero"/>
        <c:auto val="1"/>
        <c:lblAlgn val="ctr"/>
        <c:lblOffset val="100"/>
        <c:noMultiLvlLbl val="0"/>
      </c:catAx>
      <c:valAx>
        <c:axId val="432463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3219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val>
            <c:numRef>
              <c:f>Sheet1!$G$5:$V$5</c:f>
              <c:numCache>
                <c:formatCode>0.0</c:formatCode>
                <c:ptCount val="16"/>
                <c:pt idx="0">
                  <c:v>0</c:v>
                </c:pt>
                <c:pt idx="1">
                  <c:v>7.0710666564709435</c:v>
                </c:pt>
                <c:pt idx="2">
                  <c:v>9.9999999999994653</c:v>
                </c:pt>
                <c:pt idx="3">
                  <c:v>7.0710712780479348</c:v>
                </c:pt>
                <c:pt idx="4">
                  <c:v>6.5358979307623782E-6</c:v>
                </c:pt>
                <c:pt idx="5">
                  <c:v>-7.0710620348909288</c:v>
                </c:pt>
                <c:pt idx="6">
                  <c:v>-9.9999999999951932</c:v>
                </c:pt>
                <c:pt idx="7">
                  <c:v>-7.0710758996219072</c:v>
                </c:pt>
                <c:pt idx="8">
                  <c:v>-1.3071795861521963E-5</c:v>
                </c:pt>
                <c:pt idx="9">
                  <c:v>7.0710574133078952</c:v>
                </c:pt>
                <c:pt idx="10">
                  <c:v>9.9999999999866507</c:v>
                </c:pt>
                <c:pt idx="11">
                  <c:v>7.071080521192858</c:v>
                </c:pt>
                <c:pt idx="12">
                  <c:v>1.9607693783394179E-5</c:v>
                </c:pt>
                <c:pt idx="13">
                  <c:v>-7.07105279172184</c:v>
                </c:pt>
                <c:pt idx="14">
                  <c:v>-9.999999999973836</c:v>
                </c:pt>
                <c:pt idx="15">
                  <c:v>-7.0710851427607953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12800"/>
        <c:axId val="43214336"/>
      </c:lineChart>
      <c:catAx>
        <c:axId val="43212800"/>
        <c:scaling>
          <c:orientation val="minMax"/>
        </c:scaling>
        <c:delete val="0"/>
        <c:axPos val="b"/>
        <c:majorTickMark val="out"/>
        <c:minorTickMark val="none"/>
        <c:tickLblPos val="nextTo"/>
        <c:crossAx val="43214336"/>
        <c:crosses val="autoZero"/>
        <c:auto val="1"/>
        <c:lblAlgn val="ctr"/>
        <c:lblOffset val="100"/>
        <c:noMultiLvlLbl val="0"/>
      </c:catAx>
      <c:valAx>
        <c:axId val="432143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432128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Sheet1!$G$25:$V$25</c:f>
              <c:numCache>
                <c:formatCode>0.0</c:formatCode>
                <c:ptCount val="16"/>
                <c:pt idx="0">
                  <c:v>1.3071837099640406E-5</c:v>
                </c:pt>
                <c:pt idx="1">
                  <c:v>2.6520706512450008E-5</c:v>
                </c:pt>
                <c:pt idx="2">
                  <c:v>80.000933059361671</c:v>
                </c:pt>
                <c:pt idx="3">
                  <c:v>3.9454845448998982E-5</c:v>
                </c:pt>
                <c:pt idx="4">
                  <c:v>2.2641496691058822E-5</c:v>
                </c:pt>
                <c:pt idx="5">
                  <c:v>1.7137945920193531E-5</c:v>
                </c:pt>
                <c:pt idx="6">
                  <c:v>2.0805874466003713E-3</c:v>
                </c:pt>
                <c:pt idx="7">
                  <c:v>1.3425778158862861E-5</c:v>
                </c:pt>
                <c:pt idx="8">
                  <c:v>1.3071788782734374E-5</c:v>
                </c:pt>
                <c:pt idx="9">
                  <c:v>1.3426765523848847E-5</c:v>
                </c:pt>
                <c:pt idx="10">
                  <c:v>9.3315457593485856E-4</c:v>
                </c:pt>
                <c:pt idx="11">
                  <c:v>1.7135879540138693E-5</c:v>
                </c:pt>
                <c:pt idx="12">
                  <c:v>2.2640507793111277E-5</c:v>
                </c:pt>
                <c:pt idx="13">
                  <c:v>3.9452342816221673E-5</c:v>
                </c:pt>
                <c:pt idx="14">
                  <c:v>79.99907996913231</c:v>
                </c:pt>
                <c:pt idx="15">
                  <c:v>2.6523594108140532E-5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620352"/>
        <c:axId val="77621888"/>
      </c:lineChart>
      <c:catAx>
        <c:axId val="77620352"/>
        <c:scaling>
          <c:orientation val="minMax"/>
        </c:scaling>
        <c:delete val="0"/>
        <c:axPos val="b"/>
        <c:majorTickMark val="out"/>
        <c:minorTickMark val="none"/>
        <c:tickLblPos val="nextTo"/>
        <c:crossAx val="77621888"/>
        <c:crosses val="autoZero"/>
        <c:auto val="1"/>
        <c:lblAlgn val="ctr"/>
        <c:lblOffset val="100"/>
        <c:noMultiLvlLbl val="0"/>
      </c:catAx>
      <c:valAx>
        <c:axId val="77621888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77620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7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8</xdr:row>
          <xdr:rowOff>104775</xdr:rowOff>
        </xdr:from>
        <xdr:to>
          <xdr:col>2</xdr:col>
          <xdr:colOff>180975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GenSig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114300</xdr:colOff>
      <xdr:row>1</xdr:row>
      <xdr:rowOff>61912</xdr:rowOff>
    </xdr:from>
    <xdr:to>
      <xdr:col>33</xdr:col>
      <xdr:colOff>190500</xdr:colOff>
      <xdr:row>15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123825</xdr:colOff>
      <xdr:row>16</xdr:row>
      <xdr:rowOff>23812</xdr:rowOff>
    </xdr:from>
    <xdr:to>
      <xdr:col>33</xdr:col>
      <xdr:colOff>200025</xdr:colOff>
      <xdr:row>30</xdr:row>
      <xdr:rowOff>100012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10</xdr:row>
          <xdr:rowOff>95250</xdr:rowOff>
        </xdr:from>
        <xdr:to>
          <xdr:col>2</xdr:col>
          <xdr:colOff>142875</xdr:colOff>
          <xdr:row>11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Ph++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V1048576"/>
  <sheetViews>
    <sheetView tabSelected="1" topLeftCell="A3" zoomScaleNormal="100" workbookViewId="0">
      <selection activeCell="J23" sqref="J23"/>
    </sheetView>
  </sheetViews>
  <sheetFormatPr defaultRowHeight="15" x14ac:dyDescent="0.25"/>
  <cols>
    <col min="1" max="1" width="5.7109375" customWidth="1"/>
    <col min="2" max="3" width="7.140625" customWidth="1"/>
    <col min="4" max="4" width="10.7109375" customWidth="1"/>
    <col min="5" max="30" width="5.7109375" customWidth="1"/>
  </cols>
  <sheetData>
    <row r="2" spans="2:22" ht="18" thickBot="1" x14ac:dyDescent="0.35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2:22" ht="15.75" thickTop="1" x14ac:dyDescent="0.25"/>
    <row r="4" spans="2:22" x14ac:dyDescent="0.25">
      <c r="G4">
        <v>0</v>
      </c>
      <c r="H4">
        <v>1</v>
      </c>
      <c r="I4">
        <v>2</v>
      </c>
      <c r="J4">
        <v>3</v>
      </c>
      <c r="K4">
        <v>4</v>
      </c>
      <c r="L4">
        <v>5</v>
      </c>
      <c r="M4">
        <v>6</v>
      </c>
      <c r="N4">
        <v>7</v>
      </c>
      <c r="O4">
        <v>8</v>
      </c>
      <c r="P4">
        <v>9</v>
      </c>
      <c r="Q4">
        <v>10</v>
      </c>
      <c r="R4">
        <v>11</v>
      </c>
      <c r="S4">
        <v>12</v>
      </c>
      <c r="T4">
        <v>13</v>
      </c>
      <c r="U4">
        <v>14</v>
      </c>
      <c r="V4">
        <v>15</v>
      </c>
    </row>
    <row r="5" spans="2:22" x14ac:dyDescent="0.25">
      <c r="B5" t="s">
        <v>2</v>
      </c>
      <c r="C5">
        <v>10</v>
      </c>
      <c r="F5" t="s">
        <v>1</v>
      </c>
      <c r="G5" s="3">
        <v>0</v>
      </c>
      <c r="H5" s="3">
        <v>7.0710666564709435</v>
      </c>
      <c r="I5" s="3">
        <v>9.9999999999994653</v>
      </c>
      <c r="J5" s="3">
        <v>7.0710712780479348</v>
      </c>
      <c r="K5" s="3">
        <v>6.5358979307623782E-6</v>
      </c>
      <c r="L5" s="3">
        <v>-7.0710620348909288</v>
      </c>
      <c r="M5" s="3">
        <v>-9.9999999999951932</v>
      </c>
      <c r="N5" s="3">
        <v>-7.0710758996219072</v>
      </c>
      <c r="O5" s="3">
        <v>-1.3071795861521963E-5</v>
      </c>
      <c r="P5" s="3">
        <v>7.0710574133078952</v>
      </c>
      <c r="Q5" s="3">
        <v>9.9999999999866507</v>
      </c>
      <c r="R5" s="3">
        <v>7.071080521192858</v>
      </c>
      <c r="S5" s="3">
        <v>1.9607693783394179E-5</v>
      </c>
      <c r="T5" s="3">
        <v>-7.07105279172184</v>
      </c>
      <c r="U5" s="3">
        <v>-9.999999999973836</v>
      </c>
      <c r="V5" s="3">
        <v>-7.0710851427607953</v>
      </c>
    </row>
    <row r="6" spans="2:22" x14ac:dyDescent="0.25">
      <c r="B6" t="s">
        <v>3</v>
      </c>
      <c r="C6">
        <v>2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2:22" x14ac:dyDescent="0.25">
      <c r="B7" t="s">
        <v>4</v>
      </c>
      <c r="C7">
        <v>0</v>
      </c>
      <c r="E7">
        <v>0</v>
      </c>
      <c r="F7" t="s">
        <v>6</v>
      </c>
      <c r="G7" s="3">
        <f>G5</f>
        <v>0</v>
      </c>
      <c r="H7" s="3">
        <f t="shared" ref="H7:V7" si="0">H5</f>
        <v>7.0710666564709435</v>
      </c>
      <c r="I7" s="3">
        <f t="shared" si="0"/>
        <v>9.9999999999994653</v>
      </c>
      <c r="J7" s="3">
        <f t="shared" si="0"/>
        <v>7.0710712780479348</v>
      </c>
      <c r="K7" s="3">
        <f t="shared" si="0"/>
        <v>6.5358979307623782E-6</v>
      </c>
      <c r="L7" s="3">
        <f t="shared" si="0"/>
        <v>-7.0710620348909288</v>
      </c>
      <c r="M7" s="3">
        <f t="shared" si="0"/>
        <v>-9.9999999999951932</v>
      </c>
      <c r="N7" s="3">
        <f t="shared" si="0"/>
        <v>-7.0710758996219072</v>
      </c>
      <c r="O7" s="3">
        <f t="shared" si="0"/>
        <v>-1.3071795861521963E-5</v>
      </c>
      <c r="P7" s="3">
        <f t="shared" si="0"/>
        <v>7.0710574133078952</v>
      </c>
      <c r="Q7" s="3">
        <f t="shared" si="0"/>
        <v>9.9999999999866507</v>
      </c>
      <c r="R7" s="3">
        <f t="shared" si="0"/>
        <v>7.071080521192858</v>
      </c>
      <c r="S7" s="3">
        <f t="shared" si="0"/>
        <v>1.9607693783394179E-5</v>
      </c>
      <c r="T7" s="3">
        <f t="shared" si="0"/>
        <v>-7.07105279172184</v>
      </c>
      <c r="U7" s="3">
        <f t="shared" si="0"/>
        <v>-9.999999999973836</v>
      </c>
      <c r="V7" s="3">
        <f t="shared" si="0"/>
        <v>-7.0710851427607953</v>
      </c>
    </row>
    <row r="8" spans="2:22" x14ac:dyDescent="0.25">
      <c r="B8" t="s">
        <v>5</v>
      </c>
      <c r="C8">
        <v>0</v>
      </c>
      <c r="F8" t="s">
        <v>7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</row>
    <row r="9" spans="2:22" x14ac:dyDescent="0.25"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</row>
    <row r="10" spans="2:22" x14ac:dyDescent="0.25">
      <c r="E10">
        <v>1</v>
      </c>
      <c r="F10" t="s">
        <v>6</v>
      </c>
      <c r="G10" s="9">
        <f>G7+O7</f>
        <v>-1.3071795861521963E-5</v>
      </c>
      <c r="H10" s="9">
        <f t="shared" ref="H10:N10" si="1">H7+P7</f>
        <v>14.142124069778838</v>
      </c>
      <c r="I10" s="9">
        <f t="shared" si="1"/>
        <v>19.999999999986116</v>
      </c>
      <c r="J10" s="9">
        <f t="shared" si="1"/>
        <v>14.142151799240793</v>
      </c>
      <c r="K10" s="9">
        <f t="shared" si="1"/>
        <v>2.6143591714156558E-5</v>
      </c>
      <c r="L10" s="9">
        <f t="shared" si="1"/>
        <v>-14.142114826612769</v>
      </c>
      <c r="M10" s="9">
        <f t="shared" si="1"/>
        <v>-19.999999999969027</v>
      </c>
      <c r="N10" s="9">
        <f t="shared" si="1"/>
        <v>-14.142161042382703</v>
      </c>
      <c r="O10" s="10">
        <f>(G7-O7)*w_re(0,1,16)-(G8-O8)*w_im(0,1,16)</f>
        <v>1.3071795861521963E-5</v>
      </c>
      <c r="P10" s="10">
        <f>(H7-P7)*w_re(1,1,16)-(H8-P8)*w_im(1,1,16)</f>
        <v>8.5396101222531185E-6</v>
      </c>
      <c r="Q10" s="10">
        <f>(I7-Q7)*w_re(2,1,16)-(I8-Q8)*w_im(2,1,16)</f>
        <v>9.0615274860258081E-12</v>
      </c>
      <c r="R10" s="10">
        <f>(J7-R7)*w_re(3,1,16)-(J8-R8)*w_im(3,1,16)</f>
        <v>-3.5374951305050755E-6</v>
      </c>
      <c r="S10" s="10">
        <f>(K7-S7)*w_re(4,1,16)-(K8-S8)*w_im(4,1,16)</f>
        <v>-6.0557440517755596E-10</v>
      </c>
      <c r="T10" s="10">
        <f>(L7-T7)*w_re(5,1,16)-(L8-T8)*w_im(5,1,16)</f>
        <v>3.5367131529895905E-6</v>
      </c>
      <c r="U10" s="10">
        <f>(M7-U7)*w_re(6,1,16)-(M8-U8)*w_im(6,1,16)</f>
        <v>1.5100727842732831E-11</v>
      </c>
      <c r="V10" s="10">
        <f>(N7-V7)*w_re(7,1,16)-(N8-V8)*w_im(7,1,16)</f>
        <v>-8.5392600395960276E-6</v>
      </c>
    </row>
    <row r="11" spans="2:22" x14ac:dyDescent="0.25">
      <c r="F11" t="s">
        <v>7</v>
      </c>
      <c r="G11" s="9">
        <f>G8+O8</f>
        <v>0</v>
      </c>
      <c r="H11" s="9">
        <f t="shared" ref="H11:N11" si="2">H8+P8</f>
        <v>0</v>
      </c>
      <c r="I11" s="9">
        <f t="shared" si="2"/>
        <v>0</v>
      </c>
      <c r="J11" s="9">
        <f t="shared" si="2"/>
        <v>0</v>
      </c>
      <c r="K11" s="9">
        <f t="shared" si="2"/>
        <v>0</v>
      </c>
      <c r="L11" s="9">
        <f t="shared" si="2"/>
        <v>0</v>
      </c>
      <c r="M11" s="9">
        <f t="shared" si="2"/>
        <v>0</v>
      </c>
      <c r="N11" s="9">
        <f t="shared" si="2"/>
        <v>0</v>
      </c>
      <c r="O11" s="10">
        <f>(G8-O8)*w_re(0,1,16)+(G7-O7)*w_im(0,1,16)</f>
        <v>0</v>
      </c>
      <c r="P11" s="10">
        <f>(H8-P8)*w_re(1,1,16)+(H7-P7)*w_im(1,1,16)</f>
        <v>-3.5371064582750497E-6</v>
      </c>
      <c r="Q11" s="10">
        <f>(I8-Q8)*w_re(2,1,16)+(I7-Q7)*w_im(2,1,16)</f>
        <v>-9.061107704224011E-12</v>
      </c>
      <c r="R11" s="10">
        <f>(J8-R8)*w_re(3,1,16)+(J7-R7)*w_im(3,1,16)</f>
        <v>8.5394295051558309E-6</v>
      </c>
      <c r="S11" s="10">
        <f>(K8-S8)*w_re(4,1,16)+(K7-S7)*w_im(4,1,16)</f>
        <v>1.307179583860464E-5</v>
      </c>
      <c r="T11" s="10">
        <f>(L8-T8)*w_re(5,1,16)+(L7-T7)*w_im(5,1,16)</f>
        <v>8.5397795567242343E-6</v>
      </c>
      <c r="U11" s="10">
        <f>(M8-U8)*w_re(6,1,16)+(M7-U7)*w_im(6,1,16)</f>
        <v>1.5102826693550439E-11</v>
      </c>
      <c r="V11" s="10">
        <f>(N8-V8)*w_re(7,1,16)+(N7-V7)*w_im(7,1,16)</f>
        <v>-3.5378884210956108E-6</v>
      </c>
    </row>
    <row r="12" spans="2:22" x14ac:dyDescent="0.25"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</row>
    <row r="13" spans="2:22" x14ac:dyDescent="0.25">
      <c r="E13">
        <v>2</v>
      </c>
      <c r="F13" t="s">
        <v>6</v>
      </c>
      <c r="G13" s="11">
        <f>G10+K10</f>
        <v>1.3071795852634595E-5</v>
      </c>
      <c r="H13" s="11">
        <f t="shared" ref="H13:J13" si="3">H10+L10</f>
        <v>9.2431660689840101E-6</v>
      </c>
      <c r="I13" s="11">
        <f t="shared" si="3"/>
        <v>1.7088552795030409E-11</v>
      </c>
      <c r="J13" s="11">
        <f t="shared" si="3"/>
        <v>-9.2431419105309942E-6</v>
      </c>
      <c r="K13" s="12">
        <f>(G10-K10)*w_re(0,1,8)-(G11-K11)*w_im(0,1,8)</f>
        <v>-3.9215387575678524E-5</v>
      </c>
      <c r="L13" s="12">
        <f>(H10-L10)*w_re(1,1,8)-(H11-L11)*w_im(1,1,8)</f>
        <v>20.000440386392441</v>
      </c>
      <c r="M13" s="12">
        <f>(I10-M10)*w_re(2,1,8)-(I11-M11)*w_im(2,1,8)</f>
        <v>1.8530717951962322E-3</v>
      </c>
      <c r="N13" s="12">
        <f>(J10-N10)*w_re(3,1,8)-(J11-N11)*w_im(3,1,8)</f>
        <v>-19.998639557335188</v>
      </c>
      <c r="O13" s="7">
        <f>O10+S10</f>
        <v>1.3071190287116785E-5</v>
      </c>
      <c r="P13" s="7">
        <f t="shared" ref="P13:P14" si="4">P10+T10</f>
        <v>1.2076323275242709E-5</v>
      </c>
      <c r="Q13" s="7">
        <f t="shared" ref="Q13:Q14" si="5">Q10+U10</f>
        <v>2.4162255328758637E-11</v>
      </c>
      <c r="R13" s="7">
        <f t="shared" ref="R13:R14" si="6">R10+V10</f>
        <v>-1.2076755170101103E-5</v>
      </c>
      <c r="S13" s="4">
        <f>(O10-S10)*w_re(0,1,8)-(O11-S11)*w_im(0,1,8)</f>
        <v>1.3072401435927141E-5</v>
      </c>
      <c r="T13" s="4">
        <f>(P10-T10)*w_re(1,1,8)-(P11-T11)*w_im(1,1,8)</f>
        <v>-5.0017858732501017E-6</v>
      </c>
      <c r="U13" s="4">
        <f>(Q10-U10)*w_re(2,1,8)-(Q11-U11)*w_im(2,1,8)</f>
        <v>-2.4164214148640637E-11</v>
      </c>
      <c r="V13" s="4">
        <f>(R10-V10)*w_re(3,1,8)-(R11-V11)*w_im(3,1,8)</f>
        <v>5.0040107216567217E-6</v>
      </c>
    </row>
    <row r="14" spans="2:22" x14ac:dyDescent="0.25">
      <c r="F14" t="s">
        <v>7</v>
      </c>
      <c r="G14" s="11">
        <f>G11+K11</f>
        <v>0</v>
      </c>
      <c r="H14" s="11">
        <f t="shared" ref="H14:J14" si="7">H11+L11</f>
        <v>0</v>
      </c>
      <c r="I14" s="11">
        <f t="shared" si="7"/>
        <v>0</v>
      </c>
      <c r="J14" s="11">
        <f t="shared" si="7"/>
        <v>0</v>
      </c>
      <c r="K14" s="12">
        <f>(G11-K11)*w_re(0,1,8)+(G10-K10)*w_im(0,1,8)</f>
        <v>0</v>
      </c>
      <c r="L14" s="12">
        <f>(H11-L11)*w_re(1,1,8)+(H10-L10)*w_im(1,1,8)</f>
        <v>-19.999513851554347</v>
      </c>
      <c r="M14" s="12">
        <f>(I11-M11)*w_re(2,1,8)+(I10-M10)*w_im(2,1,8)</f>
        <v>-39.999999957031704</v>
      </c>
      <c r="N14" s="12">
        <f>(J11-N11)*w_re(3,1,8)+(J10-N10)*w_im(3,1,8)</f>
        <v>-20.001419169114374</v>
      </c>
      <c r="O14" s="7">
        <f>O11+S11</f>
        <v>1.307179583860464E-5</v>
      </c>
      <c r="P14" s="7">
        <f t="shared" si="4"/>
        <v>5.0026730984491841E-6</v>
      </c>
      <c r="Q14" s="7">
        <f t="shared" si="5"/>
        <v>6.0417189893264278E-12</v>
      </c>
      <c r="R14" s="7">
        <f t="shared" si="6"/>
        <v>5.0015410840602205E-6</v>
      </c>
      <c r="S14" s="4">
        <f>(O11-S11)*w_re(0,1,8)+(O10-S10)*w_im(0,1,8)</f>
        <v>-1.307179583860464E-5</v>
      </c>
      <c r="T14" s="4">
        <f>(P11-T11)*w_re(1,1,8)+(P10-T10)*w_im(1,1,8)</f>
        <v>-1.2077346230960973E-5</v>
      </c>
      <c r="U14" s="4">
        <f>(Q11-U11)*w_re(2,1,8)+(Q10-U10)*w_im(2,1,8)</f>
        <v>6.0380809125941025E-12</v>
      </c>
      <c r="V14" s="4">
        <f>(R11-V11)*w_re(3,1,8)+(R10-V10)*w_im(3,1,8)</f>
        <v>-1.2076387588807863E-5</v>
      </c>
    </row>
    <row r="15" spans="2:22" x14ac:dyDescent="0.25"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2:22" x14ac:dyDescent="0.25">
      <c r="E16">
        <v>3</v>
      </c>
      <c r="F16" t="s">
        <v>6</v>
      </c>
      <c r="G16" s="11">
        <f>G13+I13</f>
        <v>1.307181294118739E-5</v>
      </c>
      <c r="H16" s="11">
        <f t="shared" ref="H16:H17" si="8">H13+J13</f>
        <v>2.4158453015843406E-11</v>
      </c>
      <c r="I16" s="12">
        <f>(G13-I13)*w_re(0,1,4)-(G14-I14)*w_im(0,1,4)</f>
        <v>1.30717787640818E-5</v>
      </c>
      <c r="J16" s="12">
        <f>(H13-J13)*w_re(1,1,4)-(H14-J14)*w_im(1,1,4)</f>
        <v>8.5641139785471791E-10</v>
      </c>
      <c r="K16" s="11">
        <f t="shared" ref="K16:K17" si="9">K13+M13</f>
        <v>1.8138564076205536E-3</v>
      </c>
      <c r="L16" s="11">
        <f t="shared" ref="L16:L17" si="10">L13+N13</f>
        <v>1.8008290572524288E-3</v>
      </c>
      <c r="M16" s="12">
        <f>(K13-M13)*w_re(0,1,4)-(K14-M14)*w_im(0,1,4)</f>
        <v>-1.8922871827719108E-3</v>
      </c>
      <c r="N16" s="12">
        <f>(L13-N13)*w_re(1,1,4)-(L14-N14)*w_im(1,1,4)</f>
        <v>3.7583467299225192E-3</v>
      </c>
      <c r="O16" s="7">
        <f t="shared" ref="O16:O17" si="11">O13+Q13</f>
        <v>1.3071214449372113E-5</v>
      </c>
      <c r="P16" s="7">
        <f t="shared" ref="P16:P17" si="12">P13+R13</f>
        <v>-4.3189485839494079E-10</v>
      </c>
      <c r="Q16" s="4">
        <f>(O13-Q13)*w_re(0,1,4)-(O14-Q14)*w_im(0,1,4)</f>
        <v>1.3071166124861457E-5</v>
      </c>
      <c r="R16" s="4">
        <f>(P13-R13)*w_re(1,1,4)-(P14-R14)*w_im(1,1,4)</f>
        <v>2.2509490986058517E-9</v>
      </c>
      <c r="S16" s="7">
        <f t="shared" ref="S16:S17" si="13">S13+U13</f>
        <v>1.3072377271712991E-5</v>
      </c>
      <c r="T16" s="7">
        <f t="shared" ref="T16:T17" si="14">T13+V13</f>
        <v>2.2248484066199526E-9</v>
      </c>
      <c r="U16" s="4">
        <f>(S13-U13)*w_re(0,1,4)-(S14-U14)*w_im(0,1,4)</f>
        <v>1.307242560014129E-5</v>
      </c>
      <c r="V16" s="4">
        <f>(T13-V13)*w_re(1,1,4)-(T14-V14)*w_im(1,1,4)</f>
        <v>-1.4221786385439842E-9</v>
      </c>
    </row>
    <row r="17" spans="5:22" x14ac:dyDescent="0.25">
      <c r="F17" t="s">
        <v>7</v>
      </c>
      <c r="G17" s="11">
        <f t="shared" ref="G17" si="15">G14+I14</f>
        <v>0</v>
      </c>
      <c r="H17" s="11">
        <f t="shared" si="8"/>
        <v>0</v>
      </c>
      <c r="I17" s="12">
        <f>(G14-I14)*w_re(0,1,4)+(G13-I13)*w_im(0,1,4)</f>
        <v>0</v>
      </c>
      <c r="J17" s="12">
        <f>(H14-J14)*w_re(1,1,4)+(H13-J13)*w_im(1,1,4)</f>
        <v>-1.8486307959677608E-5</v>
      </c>
      <c r="K17" s="11">
        <f t="shared" si="9"/>
        <v>-39.999999957031704</v>
      </c>
      <c r="L17" s="11">
        <f t="shared" si="10"/>
        <v>-40.000933020668725</v>
      </c>
      <c r="M17" s="12">
        <f>(K14-M14)*w_re(0,1,4)+(K13-M13)*w_im(0,1,4)</f>
        <v>39.999999957031704</v>
      </c>
      <c r="N17" s="12">
        <f>(L14-N14)*w_re(1,1,4)+(L13-N13)*w_im(1,1,4)</f>
        <v>-39.999079812537921</v>
      </c>
      <c r="O17" s="7">
        <f t="shared" si="11"/>
        <v>1.3071801880323629E-5</v>
      </c>
      <c r="P17" s="7">
        <f t="shared" si="12"/>
        <v>1.0004214182509405E-5</v>
      </c>
      <c r="Q17" s="4">
        <f>(O14-Q14)*w_re(0,1,4)+(O13-Q13)*w_im(0,1,4)</f>
        <v>1.307178979688565E-5</v>
      </c>
      <c r="R17" s="4">
        <f>(P14-R14)*w_re(1,1,4)+(P13-R13)*w_im(1,1,4)</f>
        <v>-2.4153078366982883E-5</v>
      </c>
      <c r="S17" s="7">
        <f t="shared" si="13"/>
        <v>-1.3071789800523727E-5</v>
      </c>
      <c r="T17" s="7">
        <f t="shared" si="14"/>
        <v>-2.4153733819768836E-5</v>
      </c>
      <c r="U17" s="4">
        <f>(S14-U14)*w_re(0,1,4)+(S13-U13)*w_im(0,1,4)</f>
        <v>-1.3071801876685552E-5</v>
      </c>
      <c r="V17" s="4">
        <f>(T14-V14)*w_re(1,1,4)+(T13-V13)*w_im(1,1,4)</f>
        <v>1.0005796539758926E-5</v>
      </c>
    </row>
    <row r="18" spans="5:22" x14ac:dyDescent="0.25"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5:22" x14ac:dyDescent="0.25">
      <c r="E19">
        <v>4</v>
      </c>
      <c r="F19" t="s">
        <v>6</v>
      </c>
      <c r="G19" s="11">
        <f>G16+H16</f>
        <v>1.3071837099640406E-5</v>
      </c>
      <c r="H19" s="12">
        <f>(G16-H16)*w_re(0,1,2)-(G17-H17)*w_im(0,1,2)</f>
        <v>1.3071788782734374E-5</v>
      </c>
      <c r="I19" s="11">
        <f t="shared" ref="I19:V19" si="16">I16+J16</f>
        <v>1.3072635175479655E-5</v>
      </c>
      <c r="J19" s="12">
        <f>(I16-J16)*w_re(0,1,2)-(I17-J17)*w_im(0,1,2)</f>
        <v>1.3070922352683945E-5</v>
      </c>
      <c r="K19" s="11">
        <f t="shared" ref="K19:V19" si="17">K16+L16</f>
        <v>3.6146854648729824E-3</v>
      </c>
      <c r="L19" s="12">
        <f>(K16-L16)*w_re(0,1,2)-(K17-L17)*w_im(0,1,2)</f>
        <v>1.3027350368124795E-5</v>
      </c>
      <c r="M19" s="11">
        <f t="shared" ref="M19:V19" si="18">M16+N16</f>
        <v>1.8660595471506084E-3</v>
      </c>
      <c r="N19" s="12">
        <f>(M16-N16)*w_re(0,1,2)-(M17-N17)*w_im(0,1,2)</f>
        <v>-5.65063391269443E-3</v>
      </c>
      <c r="O19" s="7">
        <f t="shared" ref="O19:V19" si="19">O16+P16</f>
        <v>1.3070782554513718E-5</v>
      </c>
      <c r="P19" s="4">
        <f>(O16-P16)*w_re(0,1,2)-(O17-P17)*w_im(0,1,2)</f>
        <v>1.3071646344230508E-5</v>
      </c>
      <c r="Q19" s="7">
        <f t="shared" ref="Q19:V19" si="20">Q16+R16</f>
        <v>1.3073417073960063E-5</v>
      </c>
      <c r="R19" s="4">
        <f>(Q16-R16)*w_re(0,1,2)-(Q17-R17)*w_im(0,1,2)</f>
        <v>1.3068915175762851E-5</v>
      </c>
      <c r="S19" s="7">
        <f t="shared" ref="S19:V19" si="21">S16+T16</f>
        <v>1.3074602120119611E-5</v>
      </c>
      <c r="T19" s="4">
        <f>(S16-T16)*w_re(0,1,2)-(S17-T17)*w_im(0,1,2)</f>
        <v>1.3070152423306372E-5</v>
      </c>
      <c r="U19" s="7">
        <f t="shared" ref="U19:V19" si="22">U16+V16</f>
        <v>1.3071003421502747E-5</v>
      </c>
      <c r="V19" s="4">
        <f>(U16-V16)*w_re(0,1,2)-(U17-V17)*w_im(0,1,2)</f>
        <v>1.3073847778779834E-5</v>
      </c>
    </row>
    <row r="20" spans="5:22" x14ac:dyDescent="0.25">
      <c r="F20" t="s">
        <v>7</v>
      </c>
      <c r="G20" s="13">
        <f>G17+H17</f>
        <v>0</v>
      </c>
      <c r="H20" s="14">
        <f>(G17-H17)*w_re(0,1,2)+(G16-H16)*w_im(0,1,2)</f>
        <v>0</v>
      </c>
      <c r="I20" s="13">
        <f t="shared" ref="I20:V20" si="23">I17+J17</f>
        <v>-1.8486307959677608E-5</v>
      </c>
      <c r="J20" s="14">
        <f>(I17-J17)*w_re(0,1,2)+(I16-J16)*w_im(0,1,2)</f>
        <v>1.8486307959677608E-5</v>
      </c>
      <c r="K20" s="13">
        <f t="shared" ref="K20:V20" si="24">K17+L17</f>
        <v>-80.00093297770043</v>
      </c>
      <c r="L20" s="14">
        <f>(K17-L17)*w_re(0,1,2)+(K16-L16)*w_im(0,1,2)</f>
        <v>9.3306363702083672E-4</v>
      </c>
      <c r="M20" s="13">
        <f t="shared" ref="M20:V20" si="25">M17+N17</f>
        <v>9.2014449378297059E-4</v>
      </c>
      <c r="N20" s="14">
        <f>(M17-N17)*w_re(0,1,2)+(M16-N16)*w_im(0,1,2)</f>
        <v>79.999079769569619</v>
      </c>
      <c r="O20" s="8">
        <f t="shared" ref="O20:V20" si="26">O17+P17</f>
        <v>2.3076016062833034E-5</v>
      </c>
      <c r="P20" s="5">
        <f>(O17-P17)*w_re(0,1,2)+(O16-P16)*w_im(0,1,2)</f>
        <v>3.0675876978142246E-6</v>
      </c>
      <c r="Q20" s="8">
        <f t="shared" ref="Q20:V20" si="27">Q17+R17</f>
        <v>-1.1081288570097233E-5</v>
      </c>
      <c r="R20" s="5">
        <f>(Q17-R17)*w_re(0,1,2)+(Q16-R16)*w_im(0,1,2)</f>
        <v>3.7224868163868535E-5</v>
      </c>
      <c r="S20" s="8">
        <f t="shared" ref="S20:V20" si="28">S17+T17</f>
        <v>-3.7225523620292562E-5</v>
      </c>
      <c r="T20" s="5">
        <f>(S17-T17)*w_re(0,1,2)+(S16-T16)*w_im(0,1,2)</f>
        <v>1.1081944019245109E-5</v>
      </c>
      <c r="U20" s="8">
        <f t="shared" ref="U20:V20" si="29">U17+V17</f>
        <v>-3.0660053369266259E-6</v>
      </c>
      <c r="V20" s="5">
        <f>(U17-V17)*w_re(0,1,2)+(U16-V16)*w_im(0,1,2)</f>
        <v>-2.3077598416444479E-5</v>
      </c>
    </row>
    <row r="21" spans="5:22" x14ac:dyDescent="0.25"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5:22" x14ac:dyDescent="0.25">
      <c r="E22" t="s">
        <v>8</v>
      </c>
      <c r="F22" t="s">
        <v>6</v>
      </c>
      <c r="G22" s="3">
        <f>G19</f>
        <v>1.3071837099640406E-5</v>
      </c>
      <c r="H22" s="3">
        <f>O19</f>
        <v>1.3070782554513718E-5</v>
      </c>
      <c r="I22" s="3">
        <f>K19</f>
        <v>3.6146854648729824E-3</v>
      </c>
      <c r="J22" s="3">
        <f>S19</f>
        <v>1.3074602120119611E-5</v>
      </c>
      <c r="K22" s="3">
        <f>I19</f>
        <v>1.3072635175479655E-5</v>
      </c>
      <c r="L22" s="3">
        <f>Q19</f>
        <v>1.3073417073960063E-5</v>
      </c>
      <c r="M22" s="3">
        <f>M19</f>
        <v>1.8660595471506084E-3</v>
      </c>
      <c r="N22" s="3">
        <f>U19</f>
        <v>1.3071003421502747E-5</v>
      </c>
      <c r="O22" s="3">
        <f>H19</f>
        <v>1.3071788782734374E-5</v>
      </c>
      <c r="P22" s="3">
        <f>P19</f>
        <v>1.3071646344230508E-5</v>
      </c>
      <c r="Q22" s="3">
        <f>L19</f>
        <v>1.3027350368124795E-5</v>
      </c>
      <c r="R22" s="3">
        <f>T19</f>
        <v>1.3070152423306372E-5</v>
      </c>
      <c r="S22" s="3">
        <f>J19</f>
        <v>1.3070922352683945E-5</v>
      </c>
      <c r="T22" s="3">
        <f>R19</f>
        <v>1.3068915175762851E-5</v>
      </c>
      <c r="U22" s="3">
        <f>N19</f>
        <v>-5.65063391269443E-3</v>
      </c>
      <c r="V22" s="3">
        <f>V19</f>
        <v>1.3073847778779834E-5</v>
      </c>
    </row>
    <row r="23" spans="5:22" x14ac:dyDescent="0.25">
      <c r="G23" s="3">
        <f>G20</f>
        <v>0</v>
      </c>
      <c r="H23" s="3">
        <f>O20</f>
        <v>2.3076016062833034E-5</v>
      </c>
      <c r="I23" s="3">
        <f>K20</f>
        <v>-80.00093297770043</v>
      </c>
      <c r="J23" s="3">
        <f>S20</f>
        <v>-3.7225523620292562E-5</v>
      </c>
      <c r="K23" s="3">
        <f>I20</f>
        <v>-1.8486307959677608E-5</v>
      </c>
      <c r="L23" s="3">
        <f>Q20</f>
        <v>-1.1081288570097233E-5</v>
      </c>
      <c r="M23" s="3">
        <f>M20</f>
        <v>9.2014449378297059E-4</v>
      </c>
      <c r="N23" s="3">
        <f>U20</f>
        <v>-3.0660053369266259E-6</v>
      </c>
      <c r="O23" s="3">
        <f>H20</f>
        <v>0</v>
      </c>
      <c r="P23" s="3">
        <f>P20</f>
        <v>3.0675876978142246E-6</v>
      </c>
      <c r="Q23" s="3">
        <f>L20</f>
        <v>9.3306363702083672E-4</v>
      </c>
      <c r="R23" s="3">
        <f>T20</f>
        <v>1.1081944019245109E-5</v>
      </c>
      <c r="S23" s="3">
        <f>J20</f>
        <v>1.8486307959677608E-5</v>
      </c>
      <c r="T23" s="3">
        <f>R20</f>
        <v>3.7224868163868535E-5</v>
      </c>
      <c r="U23" s="3">
        <f>N20</f>
        <v>79.999079769569619</v>
      </c>
      <c r="V23" s="3">
        <f>V20</f>
        <v>-2.3077598416444479E-5</v>
      </c>
    </row>
    <row r="24" spans="5:22" x14ac:dyDescent="0.25"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5:22" x14ac:dyDescent="0.25">
      <c r="E25" t="s">
        <v>9</v>
      </c>
      <c r="G25" s="3">
        <f>SQRT(G22*G22+G23*G23)</f>
        <v>1.3071837099640406E-5</v>
      </c>
      <c r="H25" s="3">
        <f t="shared" ref="H25:V25" si="30">SQRT(H22*H22+H23*H23)</f>
        <v>2.6520706512450008E-5</v>
      </c>
      <c r="I25" s="3">
        <f t="shared" si="30"/>
        <v>80.000933059361671</v>
      </c>
      <c r="J25" s="3">
        <f t="shared" si="30"/>
        <v>3.9454845448998982E-5</v>
      </c>
      <c r="K25" s="3">
        <f t="shared" si="30"/>
        <v>2.2641496691058822E-5</v>
      </c>
      <c r="L25" s="3">
        <f t="shared" si="30"/>
        <v>1.7137945920193531E-5</v>
      </c>
      <c r="M25" s="3">
        <f t="shared" si="30"/>
        <v>2.0805874466003713E-3</v>
      </c>
      <c r="N25" s="3">
        <f t="shared" si="30"/>
        <v>1.3425778158862861E-5</v>
      </c>
      <c r="O25" s="3">
        <f t="shared" si="30"/>
        <v>1.3071788782734374E-5</v>
      </c>
      <c r="P25" s="3">
        <f t="shared" si="30"/>
        <v>1.3426765523848847E-5</v>
      </c>
      <c r="Q25" s="3">
        <f t="shared" si="30"/>
        <v>9.3315457593485856E-4</v>
      </c>
      <c r="R25" s="3">
        <f t="shared" si="30"/>
        <v>1.7135879540138693E-5</v>
      </c>
      <c r="S25" s="3">
        <f t="shared" si="30"/>
        <v>2.2640507793111277E-5</v>
      </c>
      <c r="T25" s="3">
        <f t="shared" si="30"/>
        <v>3.9452342816221673E-5</v>
      </c>
      <c r="U25" s="3">
        <f t="shared" si="30"/>
        <v>79.99907996913231</v>
      </c>
      <c r="V25" s="3">
        <f t="shared" si="30"/>
        <v>2.6523594108140532E-5</v>
      </c>
    </row>
    <row r="26" spans="5:22" x14ac:dyDescent="0.25"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5:22" x14ac:dyDescent="0.25"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5:22" x14ac:dyDescent="0.25"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5:22" x14ac:dyDescent="0.25">
      <c r="G29" s="2"/>
      <c r="H29" s="2"/>
      <c r="I29" s="2"/>
      <c r="J29" s="2"/>
      <c r="K29" s="2"/>
      <c r="L29" s="2"/>
      <c r="M29" s="2">
        <f>w_re(1,1,16)</f>
        <v>0.92388396457354438</v>
      </c>
      <c r="N29" s="2"/>
      <c r="O29" s="2">
        <f>(H7-P7)</f>
        <v>9.2431630482892047E-6</v>
      </c>
      <c r="P29" s="2"/>
      <c r="Q29" s="2"/>
      <c r="R29" s="2"/>
      <c r="S29" s="2"/>
      <c r="T29" s="2"/>
      <c r="U29" s="2"/>
      <c r="V29" s="2"/>
    </row>
    <row r="30" spans="5:22" x14ac:dyDescent="0.25">
      <c r="G30" s="2"/>
      <c r="H30" s="2"/>
      <c r="I30" s="2"/>
      <c r="J30" s="2"/>
      <c r="K30" s="2"/>
      <c r="L30" s="2"/>
      <c r="M30" s="2">
        <f>w_im(1,1,16)</f>
        <v>0.3826727322450213</v>
      </c>
      <c r="N30" s="2"/>
      <c r="O30" s="2">
        <f>(H8-P8)</f>
        <v>0</v>
      </c>
      <c r="P30" s="2"/>
      <c r="Q30" s="2"/>
      <c r="R30" s="2"/>
      <c r="S30" s="2"/>
      <c r="T30" s="2"/>
      <c r="U30" s="2"/>
      <c r="V30" s="2"/>
    </row>
    <row r="31" spans="5:22" x14ac:dyDescent="0.25"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5:22" x14ac:dyDescent="0.25">
      <c r="M32">
        <f>2*3.1415*1*1/16</f>
        <v>0.39268750000000002</v>
      </c>
    </row>
    <row r="33" spans="13:13" x14ac:dyDescent="0.25">
      <c r="M33">
        <f>SIN(M32)</f>
        <v>0.3826727322450213</v>
      </c>
    </row>
    <row r="1048576" spans="7:7" x14ac:dyDescent="0.25">
      <c r="G1048576" s="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1</xdr:col>
                    <xdr:colOff>114300</xdr:colOff>
                    <xdr:row>8</xdr:row>
                    <xdr:rowOff>104775</xdr:rowOff>
                  </from>
                  <to>
                    <xdr:col>2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>
                  <from>
                    <xdr:col>1</xdr:col>
                    <xdr:colOff>76200</xdr:colOff>
                    <xdr:row>10</xdr:row>
                    <xdr:rowOff>95250</xdr:rowOff>
                  </from>
                  <to>
                    <xdr:col>2</xdr:col>
                    <xdr:colOff>142875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Chart3</vt:lpstr>
      <vt:lpstr>Chart2</vt:lpstr>
      <vt:lpstr>Chart1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YuGo</dc:creator>
  <cp:lastModifiedBy>YuGo</cp:lastModifiedBy>
  <dcterms:created xsi:type="dcterms:W3CDTF">2015-03-12T17:16:40Z</dcterms:created>
  <dcterms:modified xsi:type="dcterms:W3CDTF">2015-03-12T22:49:35Z</dcterms:modified>
</cp:coreProperties>
</file>